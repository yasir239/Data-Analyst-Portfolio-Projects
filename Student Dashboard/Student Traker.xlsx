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Course 1" sheetId="2" r:id="rId5"/>
    <sheet state="visible" name="Course 2" sheetId="3" r:id="rId6"/>
  </sheets>
  <definedNames/>
  <calcPr/>
</workbook>
</file>

<file path=xl/sharedStrings.xml><?xml version="1.0" encoding="utf-8"?>
<sst xmlns="http://schemas.openxmlformats.org/spreadsheetml/2006/main" count="187" uniqueCount="79">
  <si>
    <t>Yasir's Dashboard</t>
  </si>
  <si>
    <t>Your Name</t>
  </si>
  <si>
    <t>Yasir</t>
  </si>
  <si>
    <t>MAT133</t>
  </si>
  <si>
    <t>Privacy Setting</t>
  </si>
  <si>
    <t>Course 1</t>
  </si>
  <si>
    <t>Monday</t>
  </si>
  <si>
    <t>Tuesday</t>
  </si>
  <si>
    <t>Wednesday</t>
  </si>
  <si>
    <t>Thursday</t>
  </si>
  <si>
    <t>Friday</t>
  </si>
  <si>
    <t>Saturday</t>
  </si>
  <si>
    <t>Sunday</t>
  </si>
  <si>
    <t>Current Grade</t>
  </si>
  <si>
    <t>Check Ahead</t>
  </si>
  <si>
    <t>Course 1 - write assignment</t>
  </si>
  <si>
    <t>CS383</t>
  </si>
  <si>
    <t>Year</t>
  </si>
  <si>
    <t>Month</t>
  </si>
  <si>
    <t>January</t>
  </si>
  <si>
    <t xml:space="preserve">Course 5 - Group Meeting </t>
  </si>
  <si>
    <t>Course 2</t>
  </si>
  <si>
    <t>Month n</t>
  </si>
  <si>
    <t>Start Day</t>
  </si>
  <si>
    <t>Last Day of Month</t>
  </si>
  <si>
    <t>Course 1 - Group Meeting</t>
  </si>
  <si>
    <t>Today Task</t>
  </si>
  <si>
    <t xml:space="preserve"> Course 2 - Group Meeting</t>
  </si>
  <si>
    <t>Math133: Mergers and Aquistions</t>
  </si>
  <si>
    <t>Course Code:</t>
  </si>
  <si>
    <t>Course Name:</t>
  </si>
  <si>
    <t>Mergers and Aquistions</t>
  </si>
  <si>
    <t>Grade</t>
  </si>
  <si>
    <t>Course Work</t>
  </si>
  <si>
    <t>Wight(%)</t>
  </si>
  <si>
    <t>Your Grade(&amp;)</t>
  </si>
  <si>
    <t>Wight Achived</t>
  </si>
  <si>
    <t>Participation</t>
  </si>
  <si>
    <t>Midterm</t>
  </si>
  <si>
    <t>Course Completed</t>
  </si>
  <si>
    <t>Average Garde So Far</t>
  </si>
  <si>
    <t>Group Project Analysis</t>
  </si>
  <si>
    <t>Group presentation</t>
  </si>
  <si>
    <t>Final</t>
  </si>
  <si>
    <t>Mark needed to Reach Goal</t>
  </si>
  <si>
    <t>Total</t>
  </si>
  <si>
    <t>Current weight Grade:</t>
  </si>
  <si>
    <t>Bonus</t>
  </si>
  <si>
    <t>Finshed?</t>
  </si>
  <si>
    <t>Course work</t>
  </si>
  <si>
    <t>Type</t>
  </si>
  <si>
    <t>Priority</t>
  </si>
  <si>
    <t xml:space="preserve">Status </t>
  </si>
  <si>
    <t>Due Date</t>
  </si>
  <si>
    <t>Time Due (User Entry)</t>
  </si>
  <si>
    <t>Days Left</t>
  </si>
  <si>
    <t>Links</t>
  </si>
  <si>
    <t>Details</t>
  </si>
  <si>
    <t>Group project one</t>
  </si>
  <si>
    <t>Meeting</t>
  </si>
  <si>
    <t>Medium</t>
  </si>
  <si>
    <t>Started</t>
  </si>
  <si>
    <t>[URL]</t>
  </si>
  <si>
    <t>Exam</t>
  </si>
  <si>
    <t>High</t>
  </si>
  <si>
    <t>Group Project part 2</t>
  </si>
  <si>
    <t>Related Rates Project</t>
  </si>
  <si>
    <t>Assignment</t>
  </si>
  <si>
    <t>presentation</t>
  </si>
  <si>
    <t>Low</t>
  </si>
  <si>
    <t>Not Started</t>
  </si>
  <si>
    <t>Group Final peoject</t>
  </si>
  <si>
    <t>Final Exam</t>
  </si>
  <si>
    <t>Quiz</t>
  </si>
  <si>
    <t>CS383: Intermediate Python</t>
  </si>
  <si>
    <t>Intermediate Python</t>
  </si>
  <si>
    <t>Group Contract</t>
  </si>
  <si>
    <t>Group Meeting</t>
  </si>
  <si>
    <t>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</si>
</sst>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H:mm:ss"/>
  </numFmts>
  <fonts count="24">
    <font>
      <sz val="10.0"/>
      <color rgb="FF000000"/>
      <name val="Verdana"/>
      <scheme val="minor"/>
    </font>
    <font>
      <sz val="35.0"/>
      <color theme="1"/>
      <name val="Arial"/>
    </font>
    <font>
      <color theme="1"/>
      <name val="Arial"/>
    </font>
    <font/>
    <font>
      <sz val="22.0"/>
      <color rgb="FFFFFFFF"/>
      <name val="Verdana"/>
      <scheme val="minor"/>
    </font>
    <font>
      <sz val="16.0"/>
      <color theme="1"/>
      <name val="Arial"/>
    </font>
    <font>
      <color theme="1"/>
      <name val="Verdana"/>
      <scheme val="minor"/>
    </font>
    <font>
      <sz val="10.0"/>
      <color theme="1"/>
      <name val="Verdana"/>
      <scheme val="minor"/>
    </font>
    <font>
      <sz val="18.0"/>
      <color theme="1"/>
      <name val="Comic Sans MS"/>
    </font>
    <font>
      <sz val="18.0"/>
      <color rgb="FFFFFFFF"/>
      <name val="Arial"/>
    </font>
    <font>
      <sz val="14.0"/>
      <color theme="1"/>
      <name val="Verdana"/>
      <scheme val="minor"/>
    </font>
    <font>
      <sz val="42.0"/>
      <color theme="1"/>
      <name val="Times New Roman"/>
    </font>
    <font>
      <sz val="15.0"/>
      <color theme="1"/>
      <name val="Arial"/>
    </font>
    <font>
      <sz val="12.0"/>
      <color theme="1"/>
      <name val="Verdana"/>
      <scheme val="minor"/>
    </font>
    <font>
      <sz val="15.0"/>
      <color theme="1"/>
      <name val="Verdana"/>
      <scheme val="minor"/>
    </font>
    <font>
      <sz val="12.0"/>
      <color theme="1"/>
      <name val="Arial"/>
    </font>
    <font>
      <color theme="1"/>
      <name val="Comic Sans MS"/>
    </font>
    <font>
      <sz val="20.0"/>
      <color theme="1"/>
      <name val="Verdana"/>
      <scheme val="minor"/>
    </font>
    <font>
      <sz val="27.0"/>
      <color theme="1"/>
      <name val="Comic Sans MS"/>
    </font>
    <font>
      <sz val="11.0"/>
      <color theme="1"/>
      <name val="Verdana"/>
      <scheme val="minor"/>
    </font>
    <font>
      <sz val="20.0"/>
      <color theme="1"/>
      <name val="Comic Sans MS"/>
    </font>
    <font>
      <b/>
      <color theme="1"/>
      <name val="Verdana"/>
      <scheme val="minor"/>
    </font>
    <font>
      <strike/>
      <color rgb="FF000000"/>
      <name val="Verdana"/>
      <scheme val="minor"/>
    </font>
    <font>
      <color rgb="FF000000"/>
      <name val="Verdana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C27BA0"/>
        <bgColor rgb="FFC27BA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1">
    <border/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bottom style="thick">
        <color rgb="FFFFFFFF"/>
      </bottom>
    </border>
    <border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1" fillId="0" fontId="2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3" fillId="4" fontId="5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3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 shrinkToFit="0" wrapText="1"/>
    </xf>
    <xf borderId="10" fillId="0" fontId="3" numFmtId="0" xfId="0" applyBorder="1" applyFont="1"/>
    <xf borderId="1" fillId="5" fontId="7" numFmtId="0" xfId="0" applyAlignment="1" applyBorder="1" applyFill="1" applyFont="1">
      <alignment horizontal="center" readingOrder="0" vertical="center"/>
    </xf>
    <xf borderId="11" fillId="6" fontId="6" numFmtId="0" xfId="0" applyAlignment="1" applyBorder="1" applyFill="1" applyFont="1">
      <alignment readingOrder="0"/>
    </xf>
    <xf borderId="12" fillId="0" fontId="2" numFmtId="0" xfId="0" applyAlignment="1" applyBorder="1" applyFont="1">
      <alignment horizontal="center" readingOrder="0" vertical="center"/>
    </xf>
    <xf borderId="12" fillId="0" fontId="8" numFmtId="9" xfId="0" applyAlignment="1" applyBorder="1" applyFont="1" applyNumberFormat="1">
      <alignment horizontal="center" readingOrder="0" vertical="center"/>
    </xf>
    <xf borderId="11" fillId="2" fontId="6" numFmtId="0" xfId="0" applyAlignment="1" applyBorder="1" applyFont="1">
      <alignment horizontal="left" readingOrder="0"/>
    </xf>
    <xf borderId="13" fillId="0" fontId="3" numFmtId="0" xfId="0" applyBorder="1" applyFont="1"/>
    <xf borderId="3" fillId="3" fontId="9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readingOrder="0" vertical="top"/>
    </xf>
    <xf borderId="12" fillId="0" fontId="6" numFmtId="0" xfId="0" applyBorder="1" applyFont="1"/>
    <xf borderId="14" fillId="0" fontId="3" numFmtId="0" xfId="0" applyBorder="1" applyFont="1"/>
    <xf borderId="3" fillId="7" fontId="5" numFmtId="0" xfId="0" applyAlignment="1" applyBorder="1" applyFill="1" applyFont="1">
      <alignment horizontal="center" readingOrder="0" vertical="center"/>
    </xf>
    <xf borderId="1" fillId="2" fontId="10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2" fillId="0" fontId="2" numFmtId="0" xfId="0" applyAlignment="1" applyBorder="1" applyFont="1">
      <alignment horizontal="left" readingOrder="0" vertical="top"/>
    </xf>
    <xf borderId="1" fillId="8" fontId="7" numFmtId="0" xfId="0" applyAlignment="1" applyBorder="1" applyFill="1" applyFont="1">
      <alignment horizontal="center" readingOrder="0" vertical="center"/>
    </xf>
    <xf borderId="1" fillId="0" fontId="6" numFmtId="0" xfId="0" applyBorder="1" applyFont="1"/>
    <xf borderId="1" fillId="0" fontId="6" numFmtId="14" xfId="0" applyBorder="1" applyFont="1" applyNumberFormat="1"/>
    <xf borderId="3" fillId="9" fontId="5" numFmtId="0" xfId="0" applyAlignment="1" applyBorder="1" applyFill="1" applyFont="1">
      <alignment horizontal="center" readingOrder="0" vertical="center"/>
    </xf>
    <xf borderId="1" fillId="10" fontId="7" numFmtId="0" xfId="0" applyAlignment="1" applyBorder="1" applyFill="1" applyFont="1">
      <alignment horizontal="center" readingOrder="0" vertical="center"/>
    </xf>
    <xf borderId="1" fillId="2" fontId="6" numFmtId="0" xfId="0" applyBorder="1" applyFont="1"/>
    <xf borderId="15" fillId="0" fontId="3" numFmtId="0" xfId="0" applyBorder="1" applyFont="1"/>
    <xf borderId="3" fillId="0" fontId="6" numFmtId="0" xfId="0" applyBorder="1" applyFont="1"/>
    <xf borderId="11" fillId="0" fontId="6" numFmtId="0" xfId="0" applyBorder="1" applyFont="1"/>
    <xf borderId="3" fillId="11" fontId="5" numFmtId="0" xfId="0" applyAlignment="1" applyBorder="1" applyFill="1" applyFont="1">
      <alignment horizontal="center" readingOrder="0" vertical="center"/>
    </xf>
    <xf borderId="1" fillId="12" fontId="7" numFmtId="0" xfId="0" applyAlignment="1" applyBorder="1" applyFill="1" applyFont="1">
      <alignment horizontal="center" readingOrder="0" vertical="center"/>
    </xf>
    <xf borderId="16" fillId="4" fontId="11" numFmtId="0" xfId="0" applyAlignment="1" applyBorder="1" applyFont="1">
      <alignment horizontal="center" readingOrder="0" shrinkToFit="0" vertical="top" wrapText="0"/>
    </xf>
    <xf borderId="16" fillId="0" fontId="3" numFmtId="0" xfId="0" applyBorder="1" applyFont="1"/>
    <xf borderId="17" fillId="0" fontId="3" numFmtId="0" xfId="0" applyBorder="1" applyFont="1"/>
    <xf borderId="1" fillId="13" fontId="12" numFmtId="0" xfId="0" applyAlignment="1" applyBorder="1" applyFill="1" applyFont="1">
      <alignment horizontal="center" readingOrder="0"/>
    </xf>
    <xf borderId="1" fillId="14" fontId="13" numFmtId="0" xfId="0" applyAlignment="1" applyBorder="1" applyFill="1" applyFont="1">
      <alignment horizontal="center" readingOrder="0" vertical="center"/>
    </xf>
    <xf borderId="3" fillId="13" fontId="14" numFmtId="0" xfId="0" applyAlignment="1" applyBorder="1" applyFont="1">
      <alignment horizontal="center" readingOrder="0"/>
    </xf>
    <xf borderId="3" fillId="0" fontId="15" numFmtId="0" xfId="0" applyAlignment="1" applyBorder="1" applyFont="1">
      <alignment horizontal="center" readingOrder="0" vertical="center"/>
    </xf>
    <xf borderId="18" fillId="0" fontId="6" numFmtId="0" xfId="0" applyBorder="1" applyFont="1"/>
    <xf borderId="1" fillId="13" fontId="15" numFmtId="0" xfId="0" applyAlignment="1" applyBorder="1" applyFont="1">
      <alignment horizontal="center" readingOrder="0"/>
    </xf>
    <xf borderId="3" fillId="0" fontId="16" numFmtId="9" xfId="0" applyAlignment="1" applyBorder="1" applyFont="1" applyNumberFormat="1">
      <alignment horizontal="center" readingOrder="0" vertical="center"/>
    </xf>
    <xf borderId="11" fillId="4" fontId="2" numFmtId="0" xfId="0" applyAlignment="1" applyBorder="1" applyFont="1">
      <alignment horizontal="center" readingOrder="0"/>
    </xf>
    <xf borderId="11" fillId="4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1" fillId="0" fontId="6" numFmtId="10" xfId="0" applyAlignment="1" applyBorder="1" applyFont="1" applyNumberFormat="1">
      <alignment readingOrder="0"/>
    </xf>
    <xf borderId="3" fillId="13" fontId="5" numFmtId="0" xfId="0" applyAlignment="1" applyBorder="1" applyFont="1">
      <alignment horizontal="center" readingOrder="0" vertical="center"/>
    </xf>
    <xf borderId="3" fillId="13" fontId="17" numFmtId="0" xfId="0" applyAlignment="1" applyBorder="1" applyFont="1">
      <alignment horizontal="center" readingOrder="0" vertical="center"/>
    </xf>
    <xf borderId="11" fillId="0" fontId="6" numFmtId="9" xfId="0" applyBorder="1" applyFont="1" applyNumberFormat="1"/>
    <xf borderId="3" fillId="0" fontId="18" numFmtId="9" xfId="0" applyAlignment="1" applyBorder="1" applyFont="1" applyNumberFormat="1">
      <alignment horizontal="center" readingOrder="0" vertical="center"/>
    </xf>
    <xf borderId="3" fillId="13" fontId="19" numFmtId="0" xfId="0" applyAlignment="1" applyBorder="1" applyFont="1">
      <alignment horizontal="center" readingOrder="0" vertical="center"/>
    </xf>
    <xf borderId="3" fillId="0" fontId="20" numFmtId="0" xfId="0" applyAlignment="1" applyBorder="1" applyFont="1">
      <alignment horizontal="center" readingOrder="0" vertical="center"/>
    </xf>
    <xf borderId="11" fillId="0" fontId="21" numFmtId="0" xfId="0" applyAlignment="1" applyBorder="1" applyFont="1">
      <alignment readingOrder="0"/>
    </xf>
    <xf borderId="19" fillId="0" fontId="6" numFmtId="0" xfId="0" applyBorder="1" applyFont="1"/>
    <xf borderId="20" fillId="0" fontId="6" numFmtId="0" xfId="0" applyBorder="1" applyFont="1"/>
    <xf borderId="11" fillId="0" fontId="6" numFmtId="0" xfId="0" applyAlignment="1" applyBorder="1" applyFont="1">
      <alignment horizontal="left" readingOrder="0" shrinkToFit="0" vertical="center" wrapText="1"/>
    </xf>
    <xf borderId="11" fillId="0" fontId="6" numFmtId="0" xfId="0" applyAlignment="1" applyBorder="1" applyFont="1">
      <alignment horizontal="left" readingOrder="0" shrinkToFit="0" vertical="center" wrapText="0"/>
    </xf>
    <xf borderId="11" fillId="0" fontId="6" numFmtId="0" xfId="0" applyAlignment="1" applyBorder="1" applyFont="1">
      <alignment horizontal="center" shrinkToFit="0" vertical="center" wrapText="1"/>
    </xf>
    <xf borderId="11" fillId="0" fontId="22" numFmtId="0" xfId="0" applyAlignment="1" applyBorder="1" applyFont="1">
      <alignment readingOrder="0" shrinkToFit="0" vertical="center" wrapText="1"/>
    </xf>
    <xf borderId="11" fillId="0" fontId="22" numFmtId="0" xfId="0" applyAlignment="1" applyBorder="1" applyFont="1">
      <alignment readingOrder="0" shrinkToFit="0" vertical="center" wrapText="0"/>
    </xf>
    <xf borderId="11" fillId="0" fontId="22" numFmtId="0" xfId="0" applyAlignment="1" applyBorder="1" applyFont="1">
      <alignment shrinkToFit="0" vertical="center" wrapText="1"/>
    </xf>
    <xf borderId="11" fillId="0" fontId="22" numFmtId="164" xfId="0" applyAlignment="1" applyBorder="1" applyFont="1" applyNumberFormat="1">
      <alignment shrinkToFit="0" vertical="center" wrapText="1"/>
    </xf>
    <xf borderId="11" fillId="0" fontId="22" numFmtId="165" xfId="0" applyAlignment="1" applyBorder="1" applyFont="1" applyNumberFormat="1">
      <alignment shrinkToFit="0" vertical="center" wrapText="1"/>
    </xf>
    <xf borderId="11" fillId="0" fontId="22" numFmtId="0" xfId="0" applyAlignment="1" applyBorder="1" applyFont="1">
      <alignment shrinkToFit="0" vertical="center" wrapText="1"/>
    </xf>
    <xf borderId="11" fillId="0" fontId="23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0"/>
    </xf>
    <xf borderId="11" fillId="0" fontId="22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readingOrder="0" shrinkToFit="0" vertical="center" wrapText="0"/>
    </xf>
    <xf borderId="11" fillId="0" fontId="6" numFmtId="0" xfId="0" applyAlignment="1" applyBorder="1" applyFont="1">
      <alignment shrinkToFit="0" vertical="center" wrapText="1"/>
    </xf>
    <xf borderId="11" fillId="0" fontId="6" numFmtId="164" xfId="0" applyAlignment="1" applyBorder="1" applyFont="1" applyNumberFormat="1">
      <alignment shrinkToFit="0" vertical="center" wrapText="1"/>
    </xf>
    <xf borderId="11" fillId="0" fontId="6" numFmtId="165" xfId="0" applyAlignment="1" applyBorder="1" applyFont="1" applyNumberForma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readingOrder="0" shrinkToFit="0" vertical="center" wrapText="1"/>
    </xf>
    <xf borderId="16" fillId="7" fontId="11" numFmtId="0" xfId="0" applyAlignment="1" applyBorder="1" applyFont="1">
      <alignment horizontal="center" readingOrder="0" shrinkToFit="0" vertical="top" wrapText="0"/>
    </xf>
    <xf borderId="1" fillId="7" fontId="12" numFmtId="0" xfId="0" applyAlignment="1" applyBorder="1" applyFont="1">
      <alignment horizontal="center" readingOrder="0"/>
    </xf>
    <xf borderId="3" fillId="7" fontId="14" numFmtId="0" xfId="0" applyAlignment="1" applyBorder="1" applyFont="1">
      <alignment horizontal="center" readingOrder="0"/>
    </xf>
    <xf borderId="1" fillId="7" fontId="15" numFmtId="0" xfId="0" applyAlignment="1" applyBorder="1" applyFont="1">
      <alignment horizontal="center" readingOrder="0"/>
    </xf>
    <xf borderId="11" fillId="8" fontId="2" numFmtId="0" xfId="0" applyAlignment="1" applyBorder="1" applyFont="1">
      <alignment horizontal="center" readingOrder="0"/>
    </xf>
    <xf borderId="11" fillId="8" fontId="6" numFmtId="0" xfId="0" applyAlignment="1" applyBorder="1" applyFont="1">
      <alignment readingOrder="0"/>
    </xf>
    <xf borderId="3" fillId="8" fontId="17" numFmtId="0" xfId="0" applyAlignment="1" applyBorder="1" applyFont="1">
      <alignment horizontal="center" readingOrder="0" vertical="center"/>
    </xf>
    <xf borderId="3" fillId="7" fontId="19" numFmtId="0" xfId="0" applyAlignment="1" applyBorder="1" applyFont="1">
      <alignment horizontal="center" readingOrder="0" vertical="center"/>
    </xf>
    <xf borderId="0" fillId="0" fontId="6" numFmtId="10" xfId="0" applyFont="1" applyNumberFormat="1"/>
    <xf borderId="0" fillId="0" fontId="6" numFmtId="0" xfId="0" applyFont="1"/>
    <xf borderId="11" fillId="7" fontId="6" numFmtId="0" xfId="0" applyAlignment="1" applyBorder="1" applyFont="1">
      <alignment horizontal="left" readingOrder="0" shrinkToFit="0" vertical="center" wrapText="1"/>
    </xf>
    <xf borderId="11" fillId="7" fontId="6" numFmtId="0" xfId="0" applyAlignment="1" applyBorder="1" applyFont="1">
      <alignment horizontal="left" readingOrder="0" shrinkToFit="0" vertical="center" wrapText="0"/>
    </xf>
    <xf borderId="11" fillId="0" fontId="23" numFmtId="0" xfId="0" applyAlignment="1" applyBorder="1" applyFont="1">
      <alignment readingOrder="0" shrinkToFit="0" vertical="center" wrapText="1"/>
    </xf>
    <xf borderId="11" fillId="0" fontId="23" numFmtId="0" xfId="0" applyAlignment="1" applyBorder="1" applyFont="1">
      <alignment readingOrder="0" shrinkToFit="0" vertical="center" wrapText="0"/>
    </xf>
    <xf borderId="11" fillId="0" fontId="23" numFmtId="0" xfId="0" applyAlignment="1" applyBorder="1" applyFont="1">
      <alignment shrinkToFit="0" vertical="center" wrapText="1"/>
    </xf>
    <xf borderId="11" fillId="0" fontId="23" numFmtId="164" xfId="0" applyAlignment="1" applyBorder="1" applyFont="1" applyNumberFormat="1">
      <alignment shrinkToFit="0" vertical="center" wrapText="1"/>
    </xf>
    <xf borderId="11" fillId="0" fontId="23" numFmtId="165" xfId="0" applyAlignment="1" applyBorder="1" applyFont="1" applyNumberFormat="1">
      <alignment shrinkToFit="0" vertical="center" wrapText="1"/>
    </xf>
    <xf borderId="11" fillId="0" fontId="23" numFmtId="0" xfId="0" applyAlignment="1" applyBorder="1" applyFont="1">
      <alignment readingOrder="0" shrinkToFit="0" vertical="center" wrapText="1"/>
    </xf>
    <xf borderId="11" fillId="0" fontId="23" numFmtId="0" xfId="0" applyAlignment="1" applyBorder="1" applyFont="1">
      <alignment readingOrder="0" shrinkToFit="0" vertical="center" wrapText="1"/>
    </xf>
    <xf borderId="11" fillId="0" fontId="6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B6D7A8"/>
        </left>
        <right style="thin">
          <color rgb="FFB6D7A8"/>
        </right>
        <top style="thin">
          <color rgb="FFB6D7A8"/>
        </top>
        <bottom style="thin">
          <color rgb="FFB6D7A8"/>
        </bottom>
      </border>
    </dxf>
    <dxf>
      <font>
        <b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  <tableStyles count="2">
    <tableStyle count="4" pivot="0" name="Course 1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ourse 2-style">
      <tableStyleElement dxfId="5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4:K34" displayName="Course_Load_Database2" name="Course_Load_Database2" id="1">
  <tableColumns count="10">
    <tableColumn name="Finshed?" id="1"/>
    <tableColumn name="Course work" id="2"/>
    <tableColumn name="Type" id="3"/>
    <tableColumn name="Priority" id="4"/>
    <tableColumn name="Status " id="5"/>
    <tableColumn name="Due Date" id="6"/>
    <tableColumn name="Time Due (User Entry)" id="7"/>
    <tableColumn name="Days Left" id="8"/>
    <tableColumn name="Links" id="9"/>
    <tableColumn name="Details" id="10"/>
  </tableColumns>
  <tableStyleInfo name="Course 1-style" showColumnStripes="0" showFirstColumn="1" showLastColumn="1" showRowStripes="1"/>
</table>
</file>

<file path=xl/tables/table2.xml><?xml version="1.0" encoding="utf-8"?>
<table xmlns="http://schemas.openxmlformats.org/spreadsheetml/2006/main" ref="B24:K34" displayName="Course_Load_Database" name="Course_Load_Database" id="2">
  <tableColumns count="10">
    <tableColumn name="Finshed?" id="1"/>
    <tableColumn name="Course work" id="2"/>
    <tableColumn name="Type" id="3"/>
    <tableColumn name="Priority" id="4"/>
    <tableColumn name="Status " id="5"/>
    <tableColumn name="Due Date" id="6"/>
    <tableColumn name="Time Due (User Entry)" id="7"/>
    <tableColumn name="Days Left" id="8"/>
    <tableColumn name="Links" id="9"/>
    <tableColumn name="Details" id="10"/>
  </tableColumns>
  <tableStyleInfo name="Course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33A44"/>
      </a:dk1>
      <a:lt1>
        <a:srgbClr val="FFFFFF"/>
      </a:lt1>
      <a:dk2>
        <a:srgbClr val="233A44"/>
      </a:dk2>
      <a:lt2>
        <a:srgbClr val="FFFFFF"/>
      </a:lt2>
      <a:accent1>
        <a:srgbClr val="00796B"/>
      </a:accent1>
      <a:accent2>
        <a:srgbClr val="BF8659"/>
      </a:accent2>
      <a:accent3>
        <a:srgbClr val="00435E"/>
      </a:accent3>
      <a:accent4>
        <a:srgbClr val="D9563F"/>
      </a:accent4>
      <a:accent5>
        <a:srgbClr val="E7BB63"/>
      </a:accent5>
      <a:accent6>
        <a:srgbClr val="144CF5"/>
      </a:accent6>
      <a:hlink>
        <a:srgbClr val="3D4594"/>
      </a:hlink>
      <a:folHlink>
        <a:srgbClr val="3D4594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6" max="12" width="19.0"/>
  </cols>
  <sheetData>
    <row r="1">
      <c r="A1" s="1" t="s">
        <v>0</v>
      </c>
    </row>
    <row r="9">
      <c r="A9" s="2" t="s">
        <v>1</v>
      </c>
      <c r="B9" s="3"/>
      <c r="C9" s="4" t="s">
        <v>2</v>
      </c>
      <c r="D9" s="3"/>
      <c r="F9" s="5" t="str">
        <f>TEXT(C21, "mmmm ") 
</f>
        <v>January </v>
      </c>
      <c r="G9" s="6"/>
      <c r="H9" s="6"/>
      <c r="I9" s="6"/>
      <c r="J9" s="6"/>
      <c r="K9" s="6"/>
      <c r="L9" s="7"/>
      <c r="N9" s="8" t="s">
        <v>3</v>
      </c>
      <c r="O9" s="7"/>
    </row>
    <row r="10">
      <c r="F10" s="9"/>
      <c r="L10" s="10"/>
      <c r="N10" s="11"/>
      <c r="O10" s="12"/>
    </row>
    <row r="11">
      <c r="A11" s="13" t="s">
        <v>4</v>
      </c>
      <c r="B11" s="3"/>
      <c r="C11" s="14" t="b">
        <v>1</v>
      </c>
      <c r="D11" s="3"/>
      <c r="F11" s="11"/>
      <c r="G11" s="15"/>
      <c r="H11" s="15"/>
      <c r="I11" s="15"/>
      <c r="J11" s="15"/>
      <c r="K11" s="15"/>
      <c r="L11" s="12"/>
      <c r="N11" s="16" t="s">
        <v>5</v>
      </c>
      <c r="O11" s="3"/>
    </row>
    <row r="12">
      <c r="F12" s="17" t="s">
        <v>6</v>
      </c>
      <c r="G12" s="17" t="s">
        <v>7</v>
      </c>
      <c r="H12" s="17" t="s">
        <v>8</v>
      </c>
      <c r="I12" s="17" t="s">
        <v>9</v>
      </c>
      <c r="J12" s="17" t="s">
        <v>10</v>
      </c>
      <c r="K12" s="17" t="s">
        <v>11</v>
      </c>
      <c r="L12" s="17" t="s">
        <v>12</v>
      </c>
      <c r="N12" s="18" t="s">
        <v>13</v>
      </c>
      <c r="O12" s="19">
        <v>0.9</v>
      </c>
    </row>
    <row r="13">
      <c r="F13" s="20">
        <v>1.0</v>
      </c>
      <c r="G13" s="20">
        <v>2.0</v>
      </c>
      <c r="H13" s="20">
        <v>3.0</v>
      </c>
      <c r="I13" s="20">
        <v>4.0</v>
      </c>
      <c r="J13" s="20">
        <v>5.0</v>
      </c>
      <c r="K13" s="20">
        <v>6.0</v>
      </c>
      <c r="L13" s="20">
        <v>7.0</v>
      </c>
      <c r="N13" s="21"/>
      <c r="O13" s="21"/>
    </row>
    <row r="14">
      <c r="A14" s="22" t="s">
        <v>14</v>
      </c>
      <c r="B14" s="6"/>
      <c r="C14" s="6"/>
      <c r="D14" s="7"/>
      <c r="F14" s="23" t="s">
        <v>15</v>
      </c>
      <c r="G14" s="24"/>
      <c r="H14" s="24"/>
      <c r="I14" s="24"/>
      <c r="J14" s="24"/>
      <c r="K14" s="24"/>
      <c r="L14" s="24"/>
      <c r="N14" s="21"/>
      <c r="O14" s="21"/>
    </row>
    <row r="15">
      <c r="A15" s="9"/>
      <c r="D15" s="10"/>
      <c r="F15" s="21"/>
      <c r="G15" s="21"/>
      <c r="H15" s="21"/>
      <c r="I15" s="21"/>
      <c r="J15" s="21"/>
      <c r="K15" s="21"/>
      <c r="L15" s="21"/>
      <c r="N15" s="25"/>
      <c r="O15" s="25"/>
    </row>
    <row r="16">
      <c r="A16" s="9"/>
      <c r="D16" s="10"/>
      <c r="F16" s="21"/>
      <c r="G16" s="21"/>
      <c r="H16" s="21"/>
      <c r="I16" s="21"/>
      <c r="J16" s="21"/>
      <c r="K16" s="21"/>
      <c r="L16" s="21"/>
    </row>
    <row r="17">
      <c r="A17" s="11"/>
      <c r="B17" s="15"/>
      <c r="C17" s="15"/>
      <c r="D17" s="12"/>
      <c r="F17" s="25"/>
      <c r="G17" s="25"/>
      <c r="H17" s="25"/>
      <c r="I17" s="25"/>
      <c r="J17" s="25"/>
      <c r="K17" s="25"/>
      <c r="L17" s="25"/>
      <c r="N17" s="26" t="s">
        <v>16</v>
      </c>
      <c r="O17" s="7"/>
    </row>
    <row r="18">
      <c r="A18" s="27" t="s">
        <v>17</v>
      </c>
      <c r="B18" s="3"/>
      <c r="C18" s="28">
        <v>2026.0</v>
      </c>
      <c r="D18" s="3"/>
      <c r="F18" s="20">
        <v>8.0</v>
      </c>
      <c r="G18" s="20">
        <v>9.0</v>
      </c>
      <c r="H18" s="20">
        <v>10.0</v>
      </c>
      <c r="I18" s="20">
        <v>11.0</v>
      </c>
      <c r="J18" s="20">
        <v>12.0</v>
      </c>
      <c r="K18" s="20">
        <v>13.0</v>
      </c>
      <c r="L18" s="20">
        <v>14.0</v>
      </c>
      <c r="N18" s="11"/>
      <c r="O18" s="12"/>
    </row>
    <row r="19">
      <c r="A19" s="27" t="s">
        <v>18</v>
      </c>
      <c r="B19" s="3"/>
      <c r="C19" s="28" t="s">
        <v>19</v>
      </c>
      <c r="D19" s="3"/>
      <c r="F19" s="29" t="s">
        <v>20</v>
      </c>
      <c r="G19" s="24"/>
      <c r="H19" s="24"/>
      <c r="I19" s="24"/>
      <c r="J19" s="24"/>
      <c r="K19" s="24"/>
      <c r="L19" s="24"/>
      <c r="N19" s="30" t="s">
        <v>21</v>
      </c>
      <c r="O19" s="3"/>
    </row>
    <row r="20">
      <c r="A20" s="27" t="s">
        <v>22</v>
      </c>
      <c r="B20" s="3"/>
      <c r="C20" s="31">
        <f>MONTH(C21)
</f>
        <v>1</v>
      </c>
      <c r="D20" s="3"/>
      <c r="F20" s="21"/>
      <c r="G20" s="21"/>
      <c r="H20" s="21"/>
      <c r="I20" s="21"/>
      <c r="J20" s="21"/>
      <c r="K20" s="21"/>
      <c r="L20" s="21"/>
      <c r="N20" s="18" t="s">
        <v>13</v>
      </c>
      <c r="O20" s="19">
        <v>0.94</v>
      </c>
    </row>
    <row r="21">
      <c r="A21" s="27" t="s">
        <v>23</v>
      </c>
      <c r="B21" s="3"/>
      <c r="C21" s="32">
        <f>DATE(C18, MONTH(DATEVALUE(C19&amp;" 1")), 1)
</f>
        <v>46023</v>
      </c>
      <c r="D21" s="3"/>
      <c r="F21" s="21"/>
      <c r="G21" s="21"/>
      <c r="H21" s="21"/>
      <c r="I21" s="21"/>
      <c r="J21" s="21"/>
      <c r="K21" s="21"/>
      <c r="L21" s="21"/>
      <c r="N21" s="21"/>
      <c r="O21" s="21"/>
    </row>
    <row r="22">
      <c r="A22" s="27" t="s">
        <v>24</v>
      </c>
      <c r="B22" s="3"/>
      <c r="C22" s="32">
        <f>EOMONTH(C21, 0)
</f>
        <v>46053</v>
      </c>
      <c r="D22" s="3"/>
      <c r="F22" s="25"/>
      <c r="G22" s="25"/>
      <c r="H22" s="25"/>
      <c r="I22" s="25"/>
      <c r="J22" s="25"/>
      <c r="K22" s="25"/>
      <c r="L22" s="25"/>
      <c r="N22" s="21"/>
      <c r="O22" s="21"/>
    </row>
    <row r="23">
      <c r="F23" s="20">
        <v>15.0</v>
      </c>
      <c r="G23" s="20">
        <v>16.0</v>
      </c>
      <c r="H23" s="20">
        <v>17.0</v>
      </c>
      <c r="I23" s="20">
        <v>18.0</v>
      </c>
      <c r="J23" s="20">
        <v>19.0</v>
      </c>
      <c r="K23" s="20">
        <v>20.0</v>
      </c>
      <c r="L23" s="20">
        <v>21.0</v>
      </c>
      <c r="N23" s="25"/>
      <c r="O23" s="25"/>
    </row>
    <row r="24">
      <c r="F24" s="24"/>
      <c r="G24" s="24"/>
      <c r="H24" s="23" t="s">
        <v>25</v>
      </c>
      <c r="I24" s="24"/>
      <c r="J24" s="24"/>
      <c r="K24" s="24"/>
      <c r="L24" s="24"/>
    </row>
    <row r="25">
      <c r="A25" s="22" t="s">
        <v>26</v>
      </c>
      <c r="B25" s="6"/>
      <c r="C25" s="6"/>
      <c r="D25" s="7"/>
      <c r="F25" s="21"/>
      <c r="G25" s="21"/>
      <c r="H25" s="21"/>
      <c r="I25" s="21"/>
      <c r="J25" s="21"/>
      <c r="K25" s="21"/>
      <c r="L25" s="21"/>
      <c r="N25" s="33" t="s">
        <v>3</v>
      </c>
      <c r="O25" s="7"/>
    </row>
    <row r="26">
      <c r="A26" s="9"/>
      <c r="D26" s="10"/>
      <c r="F26" s="21"/>
      <c r="G26" s="21"/>
      <c r="H26" s="21"/>
      <c r="I26" s="21"/>
      <c r="J26" s="21"/>
      <c r="K26" s="21"/>
      <c r="L26" s="21"/>
      <c r="N26" s="11"/>
      <c r="O26" s="12"/>
    </row>
    <row r="27">
      <c r="A27" s="9"/>
      <c r="D27" s="10"/>
      <c r="F27" s="25"/>
      <c r="G27" s="25"/>
      <c r="H27" s="25"/>
      <c r="I27" s="25"/>
      <c r="J27" s="25"/>
      <c r="K27" s="25"/>
      <c r="L27" s="25"/>
      <c r="N27" s="34" t="s">
        <v>5</v>
      </c>
      <c r="O27" s="3"/>
    </row>
    <row r="28">
      <c r="A28" s="11"/>
      <c r="B28" s="15"/>
      <c r="C28" s="15"/>
      <c r="D28" s="12"/>
      <c r="F28" s="20">
        <v>22.0</v>
      </c>
      <c r="G28" s="20">
        <v>23.0</v>
      </c>
      <c r="H28" s="20">
        <v>24.0</v>
      </c>
      <c r="I28" s="20">
        <v>25.0</v>
      </c>
      <c r="J28" s="20">
        <v>26.0</v>
      </c>
      <c r="K28" s="20">
        <v>27.0</v>
      </c>
      <c r="L28" s="20">
        <v>28.0</v>
      </c>
      <c r="N28" s="18" t="s">
        <v>13</v>
      </c>
      <c r="O28" s="19">
        <v>0.9</v>
      </c>
    </row>
    <row r="29">
      <c r="A29" s="35"/>
      <c r="B29" s="36"/>
      <c r="C29" s="36"/>
      <c r="D29" s="3"/>
      <c r="F29" s="24"/>
      <c r="G29" s="24"/>
      <c r="H29" s="23" t="s">
        <v>27</v>
      </c>
      <c r="I29" s="24"/>
      <c r="J29" s="24"/>
      <c r="K29" s="24"/>
      <c r="L29" s="24"/>
      <c r="N29" s="21"/>
      <c r="O29" s="21"/>
    </row>
    <row r="30">
      <c r="A30" s="37"/>
      <c r="B30" s="6"/>
      <c r="C30" s="6"/>
      <c r="D30" s="7"/>
      <c r="F30" s="21"/>
      <c r="G30" s="21"/>
      <c r="H30" s="21"/>
      <c r="I30" s="21"/>
      <c r="J30" s="21"/>
      <c r="K30" s="21"/>
      <c r="L30" s="21"/>
      <c r="N30" s="21"/>
      <c r="O30" s="21"/>
    </row>
    <row r="31">
      <c r="A31" s="9"/>
      <c r="D31" s="10"/>
      <c r="F31" s="21"/>
      <c r="G31" s="21"/>
      <c r="H31" s="21"/>
      <c r="I31" s="21"/>
      <c r="J31" s="21"/>
      <c r="K31" s="21"/>
      <c r="L31" s="21"/>
      <c r="N31" s="25"/>
      <c r="O31" s="25"/>
    </row>
    <row r="32">
      <c r="A32" s="9"/>
      <c r="D32" s="10"/>
      <c r="F32" s="25"/>
      <c r="G32" s="25"/>
      <c r="H32" s="25"/>
      <c r="I32" s="25"/>
      <c r="J32" s="25"/>
      <c r="K32" s="25"/>
      <c r="L32" s="25"/>
    </row>
    <row r="33">
      <c r="A33" s="9"/>
      <c r="D33" s="10"/>
      <c r="F33" s="20">
        <v>29.0</v>
      </c>
      <c r="G33" s="20">
        <v>30.0</v>
      </c>
      <c r="H33" s="38"/>
      <c r="I33" s="38"/>
      <c r="J33" s="38"/>
      <c r="K33" s="38"/>
      <c r="L33" s="38"/>
      <c r="N33" s="39" t="s">
        <v>3</v>
      </c>
      <c r="O33" s="7"/>
    </row>
    <row r="34">
      <c r="A34" s="9"/>
      <c r="D34" s="10"/>
      <c r="F34" s="24"/>
      <c r="G34" s="24"/>
      <c r="H34" s="24"/>
      <c r="I34" s="24"/>
      <c r="J34" s="24"/>
      <c r="K34" s="24"/>
      <c r="L34" s="24"/>
      <c r="N34" s="11"/>
      <c r="O34" s="12"/>
    </row>
    <row r="35">
      <c r="A35" s="9"/>
      <c r="D35" s="10"/>
      <c r="F35" s="21"/>
      <c r="G35" s="21"/>
      <c r="H35" s="21"/>
      <c r="I35" s="21"/>
      <c r="J35" s="21"/>
      <c r="K35" s="21"/>
      <c r="L35" s="21"/>
      <c r="N35" s="40" t="s">
        <v>5</v>
      </c>
      <c r="O35" s="3"/>
    </row>
    <row r="36">
      <c r="A36" s="9"/>
      <c r="D36" s="10"/>
      <c r="F36" s="21"/>
      <c r="G36" s="21"/>
      <c r="H36" s="21"/>
      <c r="I36" s="21"/>
      <c r="J36" s="21"/>
      <c r="K36" s="21"/>
      <c r="L36" s="21"/>
      <c r="N36" s="18" t="s">
        <v>13</v>
      </c>
      <c r="O36" s="19">
        <v>0.9</v>
      </c>
    </row>
    <row r="37">
      <c r="A37" s="9"/>
      <c r="D37" s="10"/>
      <c r="F37" s="25"/>
      <c r="G37" s="25"/>
      <c r="H37" s="25"/>
      <c r="I37" s="25"/>
      <c r="J37" s="25"/>
      <c r="K37" s="25"/>
      <c r="L37" s="25"/>
      <c r="N37" s="21"/>
      <c r="O37" s="21"/>
    </row>
    <row r="38">
      <c r="A38" s="11"/>
      <c r="B38" s="15"/>
      <c r="C38" s="15"/>
      <c r="D38" s="12"/>
      <c r="N38" s="21"/>
      <c r="O38" s="21"/>
    </row>
    <row r="39">
      <c r="N39" s="25"/>
      <c r="O39" s="25"/>
    </row>
  </sheetData>
  <mergeCells count="71">
    <mergeCell ref="A14:D17"/>
    <mergeCell ref="A18:B18"/>
    <mergeCell ref="C18:D18"/>
    <mergeCell ref="A19:B19"/>
    <mergeCell ref="C19:D19"/>
    <mergeCell ref="F19:F22"/>
    <mergeCell ref="G19:G22"/>
    <mergeCell ref="A22:B22"/>
    <mergeCell ref="C22:D22"/>
    <mergeCell ref="F24:F27"/>
    <mergeCell ref="G24:G27"/>
    <mergeCell ref="H24:H27"/>
    <mergeCell ref="I24:I27"/>
    <mergeCell ref="J24:J27"/>
    <mergeCell ref="O28:O31"/>
    <mergeCell ref="N33:O34"/>
    <mergeCell ref="N35:O35"/>
    <mergeCell ref="N36:N39"/>
    <mergeCell ref="O36:O39"/>
    <mergeCell ref="K24:K27"/>
    <mergeCell ref="L24:L27"/>
    <mergeCell ref="N25:O26"/>
    <mergeCell ref="N27:O27"/>
    <mergeCell ref="N28:N31"/>
    <mergeCell ref="K29:K32"/>
    <mergeCell ref="L29:L32"/>
    <mergeCell ref="F29:F32"/>
    <mergeCell ref="F34:F37"/>
    <mergeCell ref="G34:G37"/>
    <mergeCell ref="H34:H37"/>
    <mergeCell ref="I34:I37"/>
    <mergeCell ref="J34:J37"/>
    <mergeCell ref="K34:K37"/>
    <mergeCell ref="L34:L37"/>
    <mergeCell ref="A25:D28"/>
    <mergeCell ref="A29:D29"/>
    <mergeCell ref="G29:G32"/>
    <mergeCell ref="H29:H32"/>
    <mergeCell ref="I29:I32"/>
    <mergeCell ref="J29:J32"/>
    <mergeCell ref="A30:D38"/>
    <mergeCell ref="A1:T6"/>
    <mergeCell ref="A9:B9"/>
    <mergeCell ref="C9:D9"/>
    <mergeCell ref="F9:L11"/>
    <mergeCell ref="N9:O10"/>
    <mergeCell ref="A11:B11"/>
    <mergeCell ref="C11:D11"/>
    <mergeCell ref="I14:I17"/>
    <mergeCell ref="J14:J17"/>
    <mergeCell ref="K14:K17"/>
    <mergeCell ref="L14:L17"/>
    <mergeCell ref="N11:O11"/>
    <mergeCell ref="N12:N15"/>
    <mergeCell ref="O12:O15"/>
    <mergeCell ref="F14:F17"/>
    <mergeCell ref="G14:G17"/>
    <mergeCell ref="H14:H17"/>
    <mergeCell ref="N17:O18"/>
    <mergeCell ref="N19:O19"/>
    <mergeCell ref="H19:H22"/>
    <mergeCell ref="I19:I22"/>
    <mergeCell ref="J19:J22"/>
    <mergeCell ref="K19:K22"/>
    <mergeCell ref="L19:L22"/>
    <mergeCell ref="N20:N23"/>
    <mergeCell ref="O20:O23"/>
    <mergeCell ref="A20:B20"/>
    <mergeCell ref="C20:D20"/>
    <mergeCell ref="A21:B21"/>
    <mergeCell ref="C21:D21"/>
  </mergeCells>
  <dataValidations>
    <dataValidation type="list" allowBlank="1" sqref="C18">
      <formula1>"2024,2025,2026,2027,2028"</formula1>
    </dataValidation>
    <dataValidation type="list" allowBlank="1" sqref="C19">
      <formula1>"January,February,March,April,May,June,July,August,September,October,November,December"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.33"/>
    <col customWidth="1" min="2" max="2" width="25.0"/>
    <col customWidth="1" min="3" max="3" width="19.44"/>
    <col customWidth="1" min="4" max="4" width="15.89"/>
    <col customWidth="1" min="5" max="5" width="14.56"/>
    <col customWidth="1" min="6" max="9" width="26.78"/>
    <col customWidth="1" min="10" max="10" width="8.33"/>
    <col customWidth="1" min="11" max="12" width="12.33"/>
    <col customWidth="1" min="13" max="13" width="6.78"/>
  </cols>
  <sheetData>
    <row r="1">
      <c r="A1" s="41" t="s">
        <v>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</row>
    <row r="3">
      <c r="A3" s="44" t="s">
        <v>29</v>
      </c>
      <c r="B3" s="3"/>
      <c r="C3" s="45" t="s">
        <v>3</v>
      </c>
      <c r="D3" s="3"/>
    </row>
    <row r="4">
      <c r="A4" s="46" t="s">
        <v>30</v>
      </c>
      <c r="B4" s="7"/>
      <c r="C4" s="47" t="s">
        <v>31</v>
      </c>
      <c r="D4" s="7"/>
      <c r="F4" s="48"/>
      <c r="G4" s="48"/>
      <c r="H4" s="48"/>
      <c r="I4" s="48"/>
    </row>
    <row r="5">
      <c r="A5" s="11"/>
      <c r="B5" s="12"/>
      <c r="C5" s="11"/>
      <c r="D5" s="12"/>
      <c r="F5" s="49" t="s">
        <v>32</v>
      </c>
      <c r="G5" s="36"/>
      <c r="H5" s="36"/>
      <c r="I5" s="3"/>
    </row>
    <row r="6">
      <c r="A6" s="46" t="s">
        <v>32</v>
      </c>
      <c r="B6" s="7"/>
      <c r="C6" s="50">
        <v>0.9</v>
      </c>
      <c r="D6" s="7"/>
      <c r="F6" s="51" t="s">
        <v>33</v>
      </c>
      <c r="G6" s="51" t="s">
        <v>34</v>
      </c>
      <c r="H6" s="51" t="s">
        <v>35</v>
      </c>
      <c r="I6" s="52" t="s">
        <v>36</v>
      </c>
    </row>
    <row r="7">
      <c r="A7" s="11"/>
      <c r="B7" s="12"/>
      <c r="C7" s="11"/>
      <c r="D7" s="12"/>
      <c r="F7" s="53" t="s">
        <v>37</v>
      </c>
      <c r="G7" s="54">
        <v>0.14</v>
      </c>
      <c r="H7" s="54">
        <v>0.9</v>
      </c>
      <c r="I7" s="54">
        <f t="shared" ref="I7:I18" si="1">G7*H7</f>
        <v>0.126</v>
      </c>
    </row>
    <row r="8">
      <c r="F8" s="53" t="s">
        <v>38</v>
      </c>
      <c r="G8" s="54">
        <v>0.15</v>
      </c>
      <c r="H8" s="54">
        <v>0.95</v>
      </c>
      <c r="I8" s="54">
        <f t="shared" si="1"/>
        <v>0.1425</v>
      </c>
      <c r="K8" s="55" t="s">
        <v>39</v>
      </c>
      <c r="L8" s="7"/>
    </row>
    <row r="9">
      <c r="A9" s="56" t="s">
        <v>40</v>
      </c>
      <c r="B9" s="6"/>
      <c r="C9" s="6"/>
      <c r="D9" s="7"/>
      <c r="F9" s="53" t="s">
        <v>41</v>
      </c>
      <c r="G9" s="54">
        <v>0.16</v>
      </c>
      <c r="H9" s="54">
        <v>0.9</v>
      </c>
      <c r="I9" s="54">
        <f t="shared" si="1"/>
        <v>0.144</v>
      </c>
      <c r="K9" s="9"/>
      <c r="L9" s="10"/>
    </row>
    <row r="10">
      <c r="A10" s="9"/>
      <c r="D10" s="10"/>
      <c r="F10" s="53" t="s">
        <v>42</v>
      </c>
      <c r="G10" s="54">
        <v>0.14</v>
      </c>
      <c r="H10" s="54">
        <v>1.0</v>
      </c>
      <c r="I10" s="54">
        <f t="shared" si="1"/>
        <v>0.14</v>
      </c>
      <c r="K10" s="9"/>
      <c r="L10" s="10"/>
    </row>
    <row r="11">
      <c r="A11" s="9"/>
      <c r="D11" s="10"/>
      <c r="F11" s="53" t="s">
        <v>43</v>
      </c>
      <c r="G11" s="54">
        <v>0.35</v>
      </c>
      <c r="H11" s="54">
        <v>0.99</v>
      </c>
      <c r="I11" s="57">
        <f t="shared" si="1"/>
        <v>0.3465</v>
      </c>
      <c r="K11" s="11"/>
      <c r="L11" s="12"/>
    </row>
    <row r="12">
      <c r="A12" s="9"/>
      <c r="D12" s="10"/>
      <c r="F12" s="38"/>
      <c r="G12" s="38"/>
      <c r="H12" s="38"/>
      <c r="I12" s="38">
        <f t="shared" si="1"/>
        <v>0</v>
      </c>
      <c r="K12" s="14" t="b">
        <v>1</v>
      </c>
      <c r="L12" s="3"/>
    </row>
    <row r="13">
      <c r="A13" s="11"/>
      <c r="B13" s="15"/>
      <c r="C13" s="15"/>
      <c r="D13" s="12"/>
      <c r="F13" s="38"/>
      <c r="G13" s="38"/>
      <c r="H13" s="38"/>
      <c r="I13" s="38">
        <f t="shared" si="1"/>
        <v>0</v>
      </c>
    </row>
    <row r="14">
      <c r="A14" s="58">
        <f>I19</f>
        <v>0.899</v>
      </c>
      <c r="B14" s="6"/>
      <c r="C14" s="6"/>
      <c r="D14" s="7"/>
      <c r="F14" s="38"/>
      <c r="G14" s="38"/>
      <c r="H14" s="38"/>
      <c r="I14" s="38">
        <f t="shared" si="1"/>
        <v>0</v>
      </c>
    </row>
    <row r="15">
      <c r="A15" s="9"/>
      <c r="D15" s="10"/>
      <c r="F15" s="38"/>
      <c r="G15" s="38"/>
      <c r="H15" s="38"/>
      <c r="I15" s="38">
        <f t="shared" si="1"/>
        <v>0</v>
      </c>
    </row>
    <row r="16">
      <c r="A16" s="9"/>
      <c r="D16" s="10"/>
      <c r="F16" s="38"/>
      <c r="G16" s="38"/>
      <c r="H16" s="38"/>
      <c r="I16" s="38">
        <f t="shared" si="1"/>
        <v>0</v>
      </c>
    </row>
    <row r="17">
      <c r="A17" s="9"/>
      <c r="D17" s="10"/>
      <c r="F17" s="38"/>
      <c r="G17" s="38"/>
      <c r="H17" s="38"/>
      <c r="I17" s="38">
        <f t="shared" si="1"/>
        <v>0</v>
      </c>
    </row>
    <row r="18">
      <c r="A18" s="11"/>
      <c r="B18" s="15"/>
      <c r="C18" s="15"/>
      <c r="D18" s="12"/>
      <c r="F18" s="38"/>
      <c r="G18" s="38"/>
      <c r="H18" s="38"/>
      <c r="I18" s="38">
        <f t="shared" si="1"/>
        <v>0</v>
      </c>
    </row>
    <row r="19">
      <c r="A19" s="59" t="s">
        <v>44</v>
      </c>
      <c r="B19" s="7"/>
      <c r="C19" s="60">
        <v>5.0</v>
      </c>
      <c r="D19" s="7"/>
      <c r="F19" s="53" t="s">
        <v>45</v>
      </c>
      <c r="G19" s="54">
        <v>1.0</v>
      </c>
      <c r="H19" s="53" t="s">
        <v>46</v>
      </c>
      <c r="I19" s="54">
        <f>SUM(I7:I18)</f>
        <v>0.899</v>
      </c>
    </row>
    <row r="20">
      <c r="A20" s="9"/>
      <c r="B20" s="10"/>
      <c r="C20" s="9"/>
      <c r="D20" s="10"/>
      <c r="F20" s="61" t="s">
        <v>47</v>
      </c>
      <c r="G20" s="54">
        <v>0.02</v>
      </c>
      <c r="H20" s="54">
        <v>1.0</v>
      </c>
      <c r="I20" s="54">
        <f>G20*H20</f>
        <v>0.02</v>
      </c>
    </row>
    <row r="21">
      <c r="A21" s="11"/>
      <c r="B21" s="12"/>
      <c r="C21" s="11"/>
      <c r="D21" s="12"/>
      <c r="F21" s="38"/>
      <c r="G21" s="38"/>
      <c r="H21" s="38"/>
      <c r="I21" s="38"/>
    </row>
    <row r="23">
      <c r="B23" s="62"/>
      <c r="C23" s="48"/>
      <c r="D23" s="63"/>
      <c r="E23" s="63"/>
      <c r="F23" s="48"/>
      <c r="G23" s="48"/>
      <c r="H23" s="48"/>
      <c r="I23" s="48"/>
      <c r="J23" s="48"/>
      <c r="K23" s="48"/>
    </row>
    <row r="24" ht="22.5" customHeight="1">
      <c r="B24" s="64" t="s">
        <v>48</v>
      </c>
      <c r="C24" s="64" t="s">
        <v>49</v>
      </c>
      <c r="D24" s="65" t="s">
        <v>50</v>
      </c>
      <c r="E24" s="64" t="s">
        <v>51</v>
      </c>
      <c r="F24" s="64" t="s">
        <v>52</v>
      </c>
      <c r="G24" s="64" t="s">
        <v>53</v>
      </c>
      <c r="H24" s="64" t="s">
        <v>54</v>
      </c>
      <c r="I24" s="64" t="s">
        <v>55</v>
      </c>
      <c r="J24" s="65" t="s">
        <v>56</v>
      </c>
      <c r="K24" s="65" t="s">
        <v>57</v>
      </c>
    </row>
    <row r="25" ht="22.5" customHeight="1">
      <c r="B25" s="66" t="b">
        <v>0</v>
      </c>
      <c r="C25" s="67" t="s">
        <v>58</v>
      </c>
      <c r="D25" s="68" t="s">
        <v>59</v>
      </c>
      <c r="E25" s="69" t="s">
        <v>60</v>
      </c>
      <c r="F25" s="69" t="s">
        <v>61</v>
      </c>
      <c r="G25" s="70">
        <v>46037.0</v>
      </c>
      <c r="H25" s="71">
        <v>0.9993055555555556</v>
      </c>
      <c r="I25" s="72">
        <v>19.0</v>
      </c>
      <c r="J25" s="73" t="s">
        <v>62</v>
      </c>
      <c r="K25" s="74"/>
    </row>
    <row r="26" ht="22.5" customHeight="1">
      <c r="B26" s="66" t="b">
        <v>0</v>
      </c>
      <c r="C26" s="67" t="s">
        <v>38</v>
      </c>
      <c r="D26" s="75" t="s">
        <v>63</v>
      </c>
      <c r="E26" s="69" t="s">
        <v>64</v>
      </c>
      <c r="F26" s="69" t="s">
        <v>61</v>
      </c>
      <c r="G26" s="70">
        <v>46058.0</v>
      </c>
      <c r="H26" s="71">
        <v>0.375</v>
      </c>
      <c r="I26" s="76">
        <v>40.0</v>
      </c>
      <c r="J26" s="77" t="s">
        <v>62</v>
      </c>
      <c r="K26" s="74"/>
    </row>
    <row r="27" ht="22.5" customHeight="1">
      <c r="B27" s="66" t="b">
        <v>0</v>
      </c>
      <c r="C27" s="78" t="s">
        <v>65</v>
      </c>
      <c r="D27" s="79" t="s">
        <v>59</v>
      </c>
      <c r="E27" s="80" t="s">
        <v>60</v>
      </c>
      <c r="F27" s="80" t="s">
        <v>61</v>
      </c>
      <c r="G27" s="81">
        <v>46050.0</v>
      </c>
      <c r="H27" s="82">
        <v>0.4166666666666667</v>
      </c>
      <c r="I27" s="76">
        <v>32.0</v>
      </c>
      <c r="J27" s="77" t="s">
        <v>62</v>
      </c>
      <c r="K27" s="74"/>
    </row>
    <row r="28" ht="22.5" customHeight="1">
      <c r="B28" s="66" t="b">
        <v>0</v>
      </c>
      <c r="C28" s="83" t="s">
        <v>66</v>
      </c>
      <c r="D28" s="84" t="s">
        <v>67</v>
      </c>
      <c r="E28" s="80" t="s">
        <v>64</v>
      </c>
      <c r="F28" s="80" t="s">
        <v>61</v>
      </c>
      <c r="G28" s="81">
        <v>46091.0</v>
      </c>
      <c r="H28" s="82">
        <v>0.7083333333333334</v>
      </c>
      <c r="I28" s="76">
        <v>73.0</v>
      </c>
      <c r="J28" s="77" t="s">
        <v>62</v>
      </c>
      <c r="K28" s="74"/>
    </row>
    <row r="29" ht="22.5" customHeight="1">
      <c r="B29" s="66" t="b">
        <v>0</v>
      </c>
      <c r="C29" s="78" t="s">
        <v>68</v>
      </c>
      <c r="D29" s="79" t="s">
        <v>67</v>
      </c>
      <c r="E29" s="80" t="s">
        <v>69</v>
      </c>
      <c r="F29" s="85" t="s">
        <v>70</v>
      </c>
      <c r="G29" s="81">
        <v>46042.0</v>
      </c>
      <c r="H29" s="82">
        <v>0.9993055555555556</v>
      </c>
      <c r="I29" s="76">
        <v>24.0</v>
      </c>
      <c r="J29" s="77" t="s">
        <v>62</v>
      </c>
      <c r="K29" s="74"/>
    </row>
    <row r="30" ht="22.5" customHeight="1">
      <c r="B30" s="66" t="b">
        <v>0</v>
      </c>
      <c r="C30" s="78" t="s">
        <v>71</v>
      </c>
      <c r="D30" s="79" t="s">
        <v>59</v>
      </c>
      <c r="E30" s="80" t="s">
        <v>60</v>
      </c>
      <c r="F30" s="85" t="s">
        <v>70</v>
      </c>
      <c r="G30" s="81">
        <v>46106.0</v>
      </c>
      <c r="H30" s="82">
        <v>0.9993055555555556</v>
      </c>
      <c r="I30" s="76">
        <v>88.0</v>
      </c>
      <c r="J30" s="77" t="s">
        <v>62</v>
      </c>
      <c r="K30" s="74"/>
    </row>
    <row r="31" ht="22.5" customHeight="1">
      <c r="B31" s="66" t="b">
        <v>0</v>
      </c>
      <c r="C31" s="78" t="s">
        <v>72</v>
      </c>
      <c r="D31" s="79" t="s">
        <v>63</v>
      </c>
      <c r="E31" s="80" t="s">
        <v>64</v>
      </c>
      <c r="F31" s="85" t="s">
        <v>70</v>
      </c>
      <c r="G31" s="81">
        <v>46071.0</v>
      </c>
      <c r="H31" s="82">
        <v>0.5833333333333334</v>
      </c>
      <c r="I31" s="76">
        <v>53.0</v>
      </c>
      <c r="J31" s="77" t="s">
        <v>62</v>
      </c>
      <c r="K31" s="74"/>
    </row>
    <row r="32" ht="22.5" customHeight="1">
      <c r="B32" s="66" t="b">
        <v>0</v>
      </c>
      <c r="C32" s="83"/>
      <c r="D32" s="84" t="s">
        <v>63</v>
      </c>
      <c r="E32" s="80" t="s">
        <v>64</v>
      </c>
      <c r="F32" s="80" t="s">
        <v>70</v>
      </c>
      <c r="G32" s="81"/>
      <c r="H32" s="82"/>
      <c r="I32" s="76"/>
      <c r="J32" s="77"/>
      <c r="K32" s="74"/>
    </row>
    <row r="33" ht="22.5" customHeight="1">
      <c r="B33" s="66" t="b">
        <v>0</v>
      </c>
      <c r="C33" s="83"/>
      <c r="D33" s="84" t="s">
        <v>73</v>
      </c>
      <c r="E33" s="80" t="s">
        <v>60</v>
      </c>
      <c r="F33" s="80" t="s">
        <v>70</v>
      </c>
      <c r="G33" s="81"/>
      <c r="H33" s="82"/>
      <c r="I33" s="76"/>
      <c r="J33" s="77"/>
      <c r="K33" s="74"/>
    </row>
    <row r="34" ht="22.5" customHeight="1">
      <c r="B34" s="66" t="b">
        <v>0</v>
      </c>
      <c r="C34" s="83"/>
      <c r="D34" s="84" t="s">
        <v>67</v>
      </c>
      <c r="E34" s="80" t="s">
        <v>69</v>
      </c>
      <c r="F34" s="80" t="s">
        <v>70</v>
      </c>
      <c r="G34" s="81"/>
      <c r="H34" s="82"/>
      <c r="I34" s="76"/>
      <c r="J34" s="77"/>
      <c r="K34" s="74"/>
    </row>
  </sheetData>
  <mergeCells count="14">
    <mergeCell ref="F5:I5"/>
    <mergeCell ref="K8:L11"/>
    <mergeCell ref="A9:D13"/>
    <mergeCell ref="K12:L12"/>
    <mergeCell ref="A14:D18"/>
    <mergeCell ref="A19:B21"/>
    <mergeCell ref="C19:D21"/>
    <mergeCell ref="A1:P1"/>
    <mergeCell ref="A3:B3"/>
    <mergeCell ref="C3:D3"/>
    <mergeCell ref="A4:B5"/>
    <mergeCell ref="C4:D5"/>
    <mergeCell ref="A6:B7"/>
    <mergeCell ref="C6:D7"/>
  </mergeCells>
  <conditionalFormatting sqref="G12:G18">
    <cfRule type="colorScale" priority="1">
      <colorScale>
        <cfvo type="min"/>
        <cfvo type="max"/>
        <color rgb="FFFFFFFF"/>
        <color rgb="FF57BB8A"/>
      </colorScale>
    </cfRule>
  </conditionalFormatting>
  <conditionalFormatting sqref="C25:J25">
    <cfRule type="notContainsBlanks" dxfId="4" priority="2">
      <formula>LEN(TRIM(C25))&gt;0</formula>
    </cfRule>
  </conditionalFormatting>
  <dataValidations>
    <dataValidation type="list" allowBlank="1" sqref="D25:D34">
      <formula1>"Assignment,Exam,Quiz,Assignment,Assignment,Assignment,Assignment,Exam,Quiz,Assignment,Meeting"</formula1>
    </dataValidation>
    <dataValidation type="custom" allowBlank="1" showDropDown="1" sqref="H25:H34">
      <formula1>OR(TIMEVALUE(TEXT(H25, "hh:mm:ss"))=H25, AND(ISNUMBER(H25), LEFT(CELL("format", H25))="D"))</formula1>
    </dataValidation>
    <dataValidation type="list" allowBlank="1" showErrorMessage="1" sqref="F25:F34">
      <formula1>"Started,Not Started"</formula1>
    </dataValidation>
    <dataValidation type="list" allowBlank="1" sqref="G7:G18">
      <formula1>"14.00%,15.00%,16.00%,20.00%,35.00%"</formula1>
    </dataValidation>
    <dataValidation type="custom" allowBlank="1" showDropDown="1" sqref="G25:G34">
      <formula1>OR(NOT(ISERROR(DATEVALUE(G25))), AND(ISNUMBER(G25), LEFT(CELL("format", G25))="D"))</formula1>
    </dataValidation>
    <dataValidation type="custom" allowBlank="1" showDropDown="1" sqref="I25:I34">
      <formula1>AND(ISNUMBER(I25),(NOT(OR(NOT(ISERROR(DATEVALUE(I25))), AND(ISNUMBER(I25), LEFT(CELL("format", I25))="D")))))</formula1>
    </dataValidation>
    <dataValidation type="list" allowBlank="1" showErrorMessage="1" sqref="E25:E34">
      <formula1>"Medium,High,Medium,High,Low,Medium,High,High,Medium,Low"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.33"/>
    <col customWidth="1" min="2" max="2" width="25.0"/>
    <col customWidth="1" min="3" max="3" width="19.44"/>
    <col customWidth="1" min="4" max="4" width="15.89"/>
    <col customWidth="1" min="5" max="5" width="14.56"/>
    <col customWidth="1" min="6" max="9" width="26.78"/>
    <col customWidth="1" min="10" max="10" width="8.33"/>
    <col customWidth="1" min="11" max="12" width="12.33"/>
    <col customWidth="1" min="13" max="13" width="6.78"/>
  </cols>
  <sheetData>
    <row r="1">
      <c r="A1" s="86" t="s">
        <v>74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</row>
    <row r="3">
      <c r="A3" s="87" t="s">
        <v>29</v>
      </c>
      <c r="B3" s="3"/>
      <c r="C3" s="45" t="s">
        <v>16</v>
      </c>
      <c r="D3" s="3"/>
    </row>
    <row r="4">
      <c r="A4" s="88" t="s">
        <v>30</v>
      </c>
      <c r="B4" s="7"/>
      <c r="C4" s="47" t="s">
        <v>75</v>
      </c>
      <c r="D4" s="7"/>
      <c r="F4" s="48"/>
      <c r="G4" s="48"/>
      <c r="H4" s="48"/>
      <c r="I4" s="48"/>
    </row>
    <row r="5">
      <c r="A5" s="11"/>
      <c r="B5" s="12"/>
      <c r="C5" s="11"/>
      <c r="D5" s="12"/>
      <c r="F5" s="89" t="s">
        <v>32</v>
      </c>
      <c r="G5" s="36"/>
      <c r="H5" s="36"/>
      <c r="I5" s="3"/>
    </row>
    <row r="6">
      <c r="A6" s="88" t="s">
        <v>32</v>
      </c>
      <c r="B6" s="7"/>
      <c r="C6" s="50">
        <v>0.94</v>
      </c>
      <c r="D6" s="7"/>
      <c r="F6" s="90" t="s">
        <v>33</v>
      </c>
      <c r="G6" s="90" t="s">
        <v>34</v>
      </c>
      <c r="H6" s="90" t="s">
        <v>35</v>
      </c>
      <c r="I6" s="91" t="s">
        <v>36</v>
      </c>
    </row>
    <row r="7">
      <c r="A7" s="11"/>
      <c r="B7" s="12"/>
      <c r="C7" s="11"/>
      <c r="D7" s="12"/>
      <c r="F7" s="53" t="s">
        <v>37</v>
      </c>
      <c r="G7" s="54">
        <v>0.1</v>
      </c>
      <c r="H7" s="54">
        <v>1.0</v>
      </c>
      <c r="I7" s="54">
        <f t="shared" ref="I7:I18" si="1">G7*H7</f>
        <v>0.1</v>
      </c>
    </row>
    <row r="8">
      <c r="F8" s="53" t="s">
        <v>38</v>
      </c>
      <c r="G8" s="54">
        <v>0.2</v>
      </c>
      <c r="H8" s="54">
        <v>0.88</v>
      </c>
      <c r="I8" s="54">
        <f t="shared" si="1"/>
        <v>0.176</v>
      </c>
      <c r="K8" s="26" t="s">
        <v>39</v>
      </c>
      <c r="L8" s="7"/>
    </row>
    <row r="9">
      <c r="A9" s="92" t="s">
        <v>40</v>
      </c>
      <c r="B9" s="6"/>
      <c r="C9" s="6"/>
      <c r="D9" s="7"/>
      <c r="F9" s="53" t="s">
        <v>41</v>
      </c>
      <c r="G9" s="54">
        <v>0.2</v>
      </c>
      <c r="H9" s="54">
        <v>0.85</v>
      </c>
      <c r="I9" s="54">
        <f t="shared" si="1"/>
        <v>0.17</v>
      </c>
      <c r="K9" s="9"/>
      <c r="L9" s="10"/>
    </row>
    <row r="10">
      <c r="A10" s="9"/>
      <c r="D10" s="10"/>
      <c r="F10" s="53" t="s">
        <v>42</v>
      </c>
      <c r="G10" s="54">
        <v>0.1</v>
      </c>
      <c r="H10" s="54">
        <v>1.0</v>
      </c>
      <c r="I10" s="54">
        <f t="shared" si="1"/>
        <v>0.1</v>
      </c>
      <c r="K10" s="9"/>
      <c r="L10" s="10"/>
    </row>
    <row r="11">
      <c r="A11" s="9"/>
      <c r="D11" s="10"/>
      <c r="F11" s="53" t="s">
        <v>43</v>
      </c>
      <c r="G11" s="54">
        <v>0.4</v>
      </c>
      <c r="H11" s="54">
        <v>0.99</v>
      </c>
      <c r="I11" s="57">
        <f t="shared" si="1"/>
        <v>0.396</v>
      </c>
      <c r="K11" s="11"/>
      <c r="L11" s="12"/>
    </row>
    <row r="12">
      <c r="A12" s="9"/>
      <c r="D12" s="10"/>
      <c r="F12" s="38"/>
      <c r="G12" s="38"/>
      <c r="H12" s="38"/>
      <c r="I12" s="38">
        <f t="shared" si="1"/>
        <v>0</v>
      </c>
      <c r="K12" s="14" t="b">
        <v>0</v>
      </c>
      <c r="L12" s="3"/>
    </row>
    <row r="13">
      <c r="A13" s="11"/>
      <c r="B13" s="15"/>
      <c r="C13" s="15"/>
      <c r="D13" s="12"/>
      <c r="F13" s="38"/>
      <c r="G13" s="38"/>
      <c r="H13" s="38"/>
      <c r="I13" s="38">
        <f t="shared" si="1"/>
        <v>0</v>
      </c>
    </row>
    <row r="14">
      <c r="A14" s="58">
        <f>I19</f>
        <v>0.942</v>
      </c>
      <c r="B14" s="6"/>
      <c r="C14" s="6"/>
      <c r="D14" s="7"/>
      <c r="F14" s="38"/>
      <c r="G14" s="38"/>
      <c r="H14" s="38"/>
      <c r="I14" s="38">
        <f t="shared" si="1"/>
        <v>0</v>
      </c>
    </row>
    <row r="15">
      <c r="A15" s="9"/>
      <c r="D15" s="10"/>
      <c r="F15" s="38"/>
      <c r="G15" s="38"/>
      <c r="H15" s="38"/>
      <c r="I15" s="38">
        <f t="shared" si="1"/>
        <v>0</v>
      </c>
    </row>
    <row r="16">
      <c r="A16" s="9"/>
      <c r="D16" s="10"/>
      <c r="F16" s="38"/>
      <c r="G16" s="38"/>
      <c r="H16" s="38"/>
      <c r="I16" s="38">
        <f t="shared" si="1"/>
        <v>0</v>
      </c>
    </row>
    <row r="17">
      <c r="A17" s="9"/>
      <c r="D17" s="10"/>
      <c r="F17" s="38"/>
      <c r="G17" s="38"/>
      <c r="H17" s="38"/>
      <c r="I17" s="38">
        <f t="shared" si="1"/>
        <v>0</v>
      </c>
    </row>
    <row r="18">
      <c r="A18" s="11"/>
      <c r="B18" s="15"/>
      <c r="C18" s="15"/>
      <c r="D18" s="12"/>
      <c r="F18" s="38"/>
      <c r="G18" s="38"/>
      <c r="H18" s="38"/>
      <c r="I18" s="38">
        <f t="shared" si="1"/>
        <v>0</v>
      </c>
    </row>
    <row r="19">
      <c r="A19" s="93" t="s">
        <v>44</v>
      </c>
      <c r="B19" s="7"/>
      <c r="C19" s="60">
        <v>0.0</v>
      </c>
      <c r="D19" s="7"/>
      <c r="F19" s="53" t="s">
        <v>45</v>
      </c>
      <c r="G19" s="54">
        <v>1.0</v>
      </c>
      <c r="H19" s="53" t="s">
        <v>46</v>
      </c>
      <c r="I19" s="54">
        <f>SUM(I7:I18)</f>
        <v>0.942</v>
      </c>
    </row>
    <row r="20">
      <c r="A20" s="9"/>
      <c r="B20" s="10"/>
      <c r="C20" s="9"/>
      <c r="D20" s="10"/>
      <c r="F20" s="61" t="s">
        <v>47</v>
      </c>
      <c r="G20" s="54">
        <v>0.03</v>
      </c>
      <c r="H20" s="54">
        <v>1.0</v>
      </c>
      <c r="I20" s="54">
        <f>G20*H20</f>
        <v>0.03</v>
      </c>
      <c r="O20" s="94">
        <f>'Course 2'!I19</f>
        <v>0.942</v>
      </c>
    </row>
    <row r="21">
      <c r="A21" s="11"/>
      <c r="B21" s="12"/>
      <c r="C21" s="11"/>
      <c r="D21" s="12"/>
      <c r="F21" s="38"/>
      <c r="G21" s="38"/>
      <c r="H21" s="38"/>
      <c r="I21" s="38"/>
      <c r="O21" s="94">
        <f>'Course 2'!I20</f>
        <v>0.03</v>
      </c>
    </row>
    <row r="22">
      <c r="O22" s="95" t="str">
        <f>'Course 2'!I21</f>
        <v/>
      </c>
    </row>
    <row r="23">
      <c r="B23" s="62"/>
      <c r="C23" s="48"/>
      <c r="D23" s="63"/>
      <c r="E23" s="63"/>
      <c r="F23" s="48"/>
      <c r="G23" s="48"/>
      <c r="H23" s="48"/>
      <c r="I23" s="48"/>
      <c r="J23" s="48"/>
      <c r="K23" s="48"/>
      <c r="O23" s="95" t="str">
        <f>'Course 2'!I22</f>
        <v/>
      </c>
    </row>
    <row r="24" ht="22.5" customHeight="1">
      <c r="B24" s="96" t="s">
        <v>48</v>
      </c>
      <c r="C24" s="96" t="s">
        <v>49</v>
      </c>
      <c r="D24" s="97" t="s">
        <v>50</v>
      </c>
      <c r="E24" s="96" t="s">
        <v>51</v>
      </c>
      <c r="F24" s="96" t="s">
        <v>52</v>
      </c>
      <c r="G24" s="96" t="s">
        <v>53</v>
      </c>
      <c r="H24" s="96" t="s">
        <v>54</v>
      </c>
      <c r="I24" s="96" t="s">
        <v>55</v>
      </c>
      <c r="J24" s="97" t="s">
        <v>56</v>
      </c>
      <c r="K24" s="97" t="s">
        <v>57</v>
      </c>
    </row>
    <row r="25" ht="22.5" customHeight="1">
      <c r="B25" s="66" t="b">
        <v>0</v>
      </c>
      <c r="C25" s="98" t="s">
        <v>76</v>
      </c>
      <c r="D25" s="99" t="s">
        <v>67</v>
      </c>
      <c r="E25" s="100" t="s">
        <v>60</v>
      </c>
      <c r="F25" s="100" t="s">
        <v>61</v>
      </c>
      <c r="G25" s="101">
        <v>46037.0</v>
      </c>
      <c r="H25" s="102">
        <v>0.9993055555555556</v>
      </c>
      <c r="I25" s="103">
        <v>2.0</v>
      </c>
      <c r="J25" s="73" t="s">
        <v>62</v>
      </c>
      <c r="K25" s="74"/>
    </row>
    <row r="26" ht="22.5" customHeight="1">
      <c r="B26" s="66" t="b">
        <v>0</v>
      </c>
      <c r="C26" s="104" t="s">
        <v>77</v>
      </c>
      <c r="D26" s="99" t="s">
        <v>59</v>
      </c>
      <c r="E26" s="100" t="s">
        <v>64</v>
      </c>
      <c r="F26" s="100" t="s">
        <v>61</v>
      </c>
      <c r="G26" s="101">
        <v>46058.0</v>
      </c>
      <c r="H26" s="102">
        <v>0.375</v>
      </c>
      <c r="I26" s="105">
        <v>10.0</v>
      </c>
      <c r="J26" s="77" t="s">
        <v>62</v>
      </c>
      <c r="K26" s="74"/>
    </row>
    <row r="27" ht="22.5" customHeight="1">
      <c r="B27" s="66" t="b">
        <v>0</v>
      </c>
      <c r="C27" s="78" t="s">
        <v>38</v>
      </c>
      <c r="D27" s="79" t="s">
        <v>63</v>
      </c>
      <c r="E27" s="80" t="s">
        <v>60</v>
      </c>
      <c r="F27" s="80" t="s">
        <v>61</v>
      </c>
      <c r="G27" s="81">
        <v>46050.0</v>
      </c>
      <c r="H27" s="82">
        <v>0.4166666666666667</v>
      </c>
      <c r="I27" s="105">
        <v>22.0</v>
      </c>
      <c r="J27" s="77" t="s">
        <v>62</v>
      </c>
      <c r="K27" s="74"/>
    </row>
    <row r="28" ht="22.5" customHeight="1">
      <c r="B28" s="66" t="b">
        <v>0</v>
      </c>
      <c r="C28" s="78" t="s">
        <v>78</v>
      </c>
      <c r="D28" s="84" t="s">
        <v>67</v>
      </c>
      <c r="E28" s="80" t="s">
        <v>64</v>
      </c>
      <c r="F28" s="80" t="s">
        <v>61</v>
      </c>
      <c r="G28" s="81">
        <v>46091.0</v>
      </c>
      <c r="H28" s="82">
        <v>0.7083333333333334</v>
      </c>
      <c r="I28" s="105">
        <v>56.0</v>
      </c>
      <c r="J28" s="77" t="s">
        <v>62</v>
      </c>
      <c r="K28" s="74"/>
    </row>
    <row r="29" ht="22.5" customHeight="1">
      <c r="B29" s="66" t="b">
        <v>0</v>
      </c>
      <c r="C29" s="78" t="s">
        <v>77</v>
      </c>
      <c r="D29" s="79" t="s">
        <v>59</v>
      </c>
      <c r="E29" s="80" t="s">
        <v>69</v>
      </c>
      <c r="F29" s="85" t="s">
        <v>70</v>
      </c>
      <c r="G29" s="81">
        <v>46042.0</v>
      </c>
      <c r="H29" s="82">
        <v>0.9993055555555556</v>
      </c>
      <c r="I29" s="105">
        <v>65.0</v>
      </c>
      <c r="J29" s="77" t="s">
        <v>62</v>
      </c>
      <c r="K29" s="74"/>
    </row>
    <row r="30" ht="22.5" customHeight="1">
      <c r="B30" s="66" t="b">
        <v>0</v>
      </c>
      <c r="C30" s="78" t="s">
        <v>71</v>
      </c>
      <c r="D30" s="79" t="s">
        <v>67</v>
      </c>
      <c r="E30" s="80" t="s">
        <v>60</v>
      </c>
      <c r="F30" s="85" t="s">
        <v>70</v>
      </c>
      <c r="G30" s="81">
        <v>46106.0</v>
      </c>
      <c r="H30" s="82">
        <v>0.9993055555555556</v>
      </c>
      <c r="I30" s="105">
        <v>69.0</v>
      </c>
      <c r="J30" s="77" t="s">
        <v>62</v>
      </c>
      <c r="K30" s="74"/>
    </row>
    <row r="31" ht="22.5" customHeight="1">
      <c r="B31" s="66" t="b">
        <v>0</v>
      </c>
      <c r="C31" s="78" t="s">
        <v>72</v>
      </c>
      <c r="D31" s="79" t="s">
        <v>63</v>
      </c>
      <c r="E31" s="80" t="s">
        <v>64</v>
      </c>
      <c r="F31" s="85" t="s">
        <v>70</v>
      </c>
      <c r="G31" s="81">
        <v>46071.0</v>
      </c>
      <c r="H31" s="82">
        <v>0.5833333333333334</v>
      </c>
      <c r="I31" s="105">
        <v>70.0</v>
      </c>
      <c r="J31" s="77" t="s">
        <v>62</v>
      </c>
      <c r="K31" s="74"/>
    </row>
    <row r="32" ht="22.5" customHeight="1">
      <c r="B32" s="66" t="b">
        <v>0</v>
      </c>
      <c r="C32" s="83"/>
      <c r="D32" s="84" t="s">
        <v>63</v>
      </c>
      <c r="E32" s="80" t="s">
        <v>64</v>
      </c>
      <c r="F32" s="80" t="s">
        <v>70</v>
      </c>
      <c r="G32" s="81"/>
      <c r="H32" s="82"/>
      <c r="I32" s="76"/>
      <c r="J32" s="77"/>
      <c r="K32" s="74"/>
    </row>
    <row r="33" ht="22.5" customHeight="1">
      <c r="B33" s="66" t="b">
        <v>0</v>
      </c>
      <c r="C33" s="83"/>
      <c r="D33" s="84" t="s">
        <v>73</v>
      </c>
      <c r="E33" s="80" t="s">
        <v>60</v>
      </c>
      <c r="F33" s="80" t="s">
        <v>70</v>
      </c>
      <c r="G33" s="81"/>
      <c r="H33" s="82"/>
      <c r="I33" s="76"/>
      <c r="J33" s="77"/>
      <c r="K33" s="74"/>
    </row>
    <row r="34" ht="22.5" customHeight="1">
      <c r="B34" s="66" t="b">
        <v>0</v>
      </c>
      <c r="C34" s="83"/>
      <c r="D34" s="84" t="s">
        <v>67</v>
      </c>
      <c r="E34" s="80" t="s">
        <v>69</v>
      </c>
      <c r="F34" s="80" t="s">
        <v>70</v>
      </c>
      <c r="G34" s="81"/>
      <c r="H34" s="82"/>
      <c r="I34" s="76"/>
      <c r="J34" s="77"/>
      <c r="K34" s="74"/>
    </row>
  </sheetData>
  <mergeCells count="14">
    <mergeCell ref="F5:I5"/>
    <mergeCell ref="K8:L11"/>
    <mergeCell ref="A9:D13"/>
    <mergeCell ref="K12:L12"/>
    <mergeCell ref="A14:D18"/>
    <mergeCell ref="A19:B21"/>
    <mergeCell ref="C19:D21"/>
    <mergeCell ref="A1:P1"/>
    <mergeCell ref="A3:B3"/>
    <mergeCell ref="C3:D3"/>
    <mergeCell ref="A4:B5"/>
    <mergeCell ref="C4:D5"/>
    <mergeCell ref="A6:B7"/>
    <mergeCell ref="C6:D7"/>
  </mergeCells>
  <conditionalFormatting sqref="G12:G18">
    <cfRule type="colorScale" priority="1">
      <colorScale>
        <cfvo type="min"/>
        <cfvo type="max"/>
        <color rgb="FFFFFFFF"/>
        <color rgb="FF57BB8A"/>
      </colorScale>
    </cfRule>
  </conditionalFormatting>
  <conditionalFormatting sqref="C25:J25">
    <cfRule type="notContainsBlanks" dxfId="4" priority="2">
      <formula>LEN(TRIM(C25))&gt;0</formula>
    </cfRule>
  </conditionalFormatting>
  <dataValidations>
    <dataValidation type="list" allowBlank="1" sqref="D25:D34">
      <formula1>"Assignment,Exam,Quiz,Assignment,Assignment,Assignment,Assignment,Exam,Quiz,Assignment,Meeting"</formula1>
    </dataValidation>
    <dataValidation type="custom" allowBlank="1" showDropDown="1" sqref="H25:H34">
      <formula1>OR(TIMEVALUE(TEXT(H25, "hh:mm:ss"))=H25, AND(ISNUMBER(H25), LEFT(CELL("format", H25))="D"))</formula1>
    </dataValidation>
    <dataValidation type="list" allowBlank="1" showErrorMessage="1" sqref="F25:F34">
      <formula1>"Started,Not Started"</formula1>
    </dataValidation>
    <dataValidation type="custom" allowBlank="1" showDropDown="1" sqref="G25:G34">
      <formula1>OR(NOT(ISERROR(DATEVALUE(G25))), AND(ISNUMBER(G25), LEFT(CELL("format", G25))="D"))</formula1>
    </dataValidation>
    <dataValidation type="custom" allowBlank="1" showDropDown="1" sqref="I25:I34">
      <formula1>AND(ISNUMBER(I25),(NOT(OR(NOT(ISERROR(DATEVALUE(I25))), AND(ISNUMBER(I25), LEFT(CELL("format", I25))="D")))))</formula1>
    </dataValidation>
    <dataValidation type="list" allowBlank="1" sqref="G7:G18">
      <formula1>"10.00%,20.00%,20.00%,10.00%,40.00%"</formula1>
    </dataValidation>
    <dataValidation type="list" allowBlank="1" showErrorMessage="1" sqref="E25:E34">
      <formula1>"Medium,High,Medium,High,Low,Medium,High,High,Medium,Low"</formula1>
    </dataValidation>
  </dataValidations>
  <drawing r:id="rId1"/>
  <tableParts count="1">
    <tablePart r:id="rId3"/>
  </tableParts>
</worksheet>
</file>